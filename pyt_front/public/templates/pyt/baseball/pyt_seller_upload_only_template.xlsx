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a6984b62f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차" sheetId="1" r:id="R6eaa6d38a87b45ac"/>
    <x:sheet xmlns:r="http://schemas.openxmlformats.org/officeDocument/2006/relationships" name="2차" sheetId="2" r:id="Reba4b472ed81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color rgb="FF111827"/>
      <x:name val="Arial"/>
    </x:font>
    <x:font>
      <x:sz val="11"/>
      <x:color rgb="FF111827"/>
      <x:name val="Arial"/>
    </x:font>
    <x:font>
      <x:b/>
      <x:sz val="11"/>
      <x:name val="Arial"/>
    </x:font>
    <x:font>
      <x:b/>
      <x:sz val="11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F9FAFB"/>
      </x:patternFill>
    </x:fill>
    <x:fill>
      <x:patternFill patternType="solid">
        <x:fgColor rgb="FF2563EB"/>
      </x:patternFill>
    </x:fill>
    <x:fill>
      <x:patternFill patternType="solid">
        <x:fgColor rgb="FF2563EB"/>
      </x:patternFill>
    </x:fill>
    <x:fill>
      <x:patternFill patternType="solid">
        <x:fgColor rgb="FFFFF2CC"/>
      </x:patternFill>
    </x:fill>
  </x:fills>
  <x:borders count="3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200" fontId="3" fillId="4" borderId="0" xfId="0" applyNumberFormat="1" applyFont="1" applyFill="1" applyBorder="1" applyAlignment="1">
      <x:alignment horizontal="left" vertical="center"/>
    </x:xf>
    <x:xf numFmtId="20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200" fontId="0" fillId="5" borderId="0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4" borderId="0" xfId="0" applyNumberFormat="1" applyFont="1" applyFill="1" applyBorder="1"/>
    <x:xf numFmtId="200" fontId="0" fillId="4" borderId="0" xfId="0" applyNumberFormat="1" applyFont="1" applyFill="1" applyBorder="1" applyAlignment="1">
      <x:alignment horizontal="right"/>
    </x:xf>
    <x:xf numFmtId="200" fontId="0" fillId="4" borderId="1" xfId="0" applyNumberFormat="1" applyFont="1" applyFill="1" applyBorder="1"/>
    <x:xf numFmtId="200" fontId="0" fillId="4" borderId="1" xfId="0" applyNumberFormat="1" applyFont="1" applyFill="1" applyBorder="1" applyAlignment="1">
      <x:alignment horizontal="right"/>
    </x:xf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200" fontId="0" fillId="4" borderId="4" xfId="0" applyNumberFormat="1" applyFont="1" applyFill="1" applyBorder="1" applyAlignment="1">
      <x:alignment horizontal="right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200" fontId="0" fillId="4" borderId="7" xfId="0" applyNumberFormat="1" applyFont="1" applyFill="1" applyBorder="1" applyAlignment="1">
      <x:alignment horizontal="right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200" fontId="0" fillId="4" borderId="10" xfId="0" applyNumberFormat="1" applyFont="1" applyFill="1" applyBorder="1" applyAlignment="1">
      <x:alignment horizontal="right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200" fontId="0" fillId="4" borderId="13" xfId="0" applyNumberFormat="1" applyFont="1" applyFill="1" applyBorder="1" applyAlignment="1">
      <x:alignment horizontal="right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200" fontId="0" fillId="4" borderId="16" xfId="0" applyNumberFormat="1" applyFont="1" applyFill="1" applyBorder="1" applyAlignment="1">
      <x:alignment horizontal="right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/>
    <x:xf numFmtId="200" fontId="0" fillId="4" borderId="19" xfId="0" applyNumberFormat="1" applyFont="1" applyFill="1" applyBorder="1" applyAlignment="1">
      <x:alignment horizontal="right"/>
    </x:xf>
    <x:xf numFmtId="0" fontId="2" fillId="3" borderId="20" xfId="0" applyNumberFormat="1" applyFont="1" applyFill="1" applyBorder="1" applyAlignment="1">
      <x:alignment horizontal="center" vertical="center"/>
    </x:xf>
    <x:xf numFmtId="0" fontId="3" fillId="4" borderId="21" xfId="0" applyNumberFormat="1" applyFont="1" applyFill="1" applyBorder="1" applyAlignment="1">
      <x:alignment horizontal="left" vertical="center"/>
    </x:xf>
    <x:xf numFmtId="0" fontId="0" fillId="0" borderId="21" xfId="0" applyNumberFormat="1" applyFont="1" applyFill="1" applyBorder="1"/>
    <x:xf numFmtId="0" fontId="4" fillId="3" borderId="21" xfId="0" applyNumberFormat="1" applyFont="1" applyFill="1" applyBorder="1" applyAlignment="1">
      <x:alignment horizontal="center"/>
    </x:xf>
    <x:xf numFmtId="200" fontId="0" fillId="5" borderId="22" xfId="0" applyNumberFormat="1" applyFont="1" applyFill="1" applyBorder="1" applyAlignment="1">
      <x:alignment horizontal="center"/>
    </x:xf>
    <x:xf numFmtId="0" fontId="2" fillId="3" borderId="23" xfId="0" applyNumberFormat="1" applyFont="1" applyFill="1" applyBorder="1" applyAlignment="1">
      <x:alignment horizontal="center" vertical="center"/>
    </x:xf>
    <x:xf numFmtId="0" fontId="3" fillId="4" borderId="24" xfId="0" applyNumberFormat="1" applyFont="1" applyFill="1" applyBorder="1" applyAlignment="1">
      <x:alignment horizontal="left" vertical="center"/>
    </x:xf>
    <x:xf numFmtId="0" fontId="0" fillId="0" borderId="24" xfId="0" applyNumberFormat="1" applyFont="1" applyFill="1" applyBorder="1"/>
    <x:xf numFmtId="0" fontId="4" fillId="3" borderId="24" xfId="0" applyNumberFormat="1" applyFont="1" applyFill="1" applyBorder="1" applyAlignment="1">
      <x:alignment horizontal="center"/>
    </x:xf>
    <x:xf numFmtId="200" fontId="0" fillId="5" borderId="25" xfId="0" applyNumberFormat="1" applyFont="1" applyFill="1" applyBorder="1" applyAlignment="1">
      <x:alignment horizontal="center"/>
    </x:xf>
    <x:xf numFmtId="0" fontId="0" fillId="5" borderId="25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/>
    <x:xf numFmtId="0" fontId="2" fillId="3" borderId="26" xfId="0" applyNumberFormat="1" applyFont="1" applyFill="1" applyBorder="1" applyAlignment="1">
      <x:alignment horizontal="center" vertical="center"/>
    </x:xf>
    <x:xf numFmtId="200" fontId="3" fillId="4" borderId="27" xfId="0" applyNumberFormat="1" applyFont="1" applyFill="1" applyBorder="1" applyAlignment="1">
      <x:alignment horizontal="left" vertical="center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2" fillId="3" borderId="29" xfId="0" applyNumberFormat="1" applyFont="1" applyFill="1" applyBorder="1" applyAlignment="1">
      <x:alignment horizontal="center" vertical="center"/>
    </x:xf>
    <x:xf numFmtId="0" fontId="3" fillId="4" borderId="30" xfId="0" applyNumberFormat="1" applyFont="1" applyFill="1" applyBorder="1" applyAlignment="1">
      <x:alignment horizontal="left" vertical="center"/>
    </x:xf>
    <x:xf numFmtId="0" fontId="0" fillId="0" borderId="30" xfId="0" applyNumberFormat="1" applyFont="1" applyFill="1" applyBorder="1"/>
    <x:xf numFmtId="0" fontId="4" fillId="3" borderId="30" xfId="0" applyNumberFormat="1" applyFont="1" applyFill="1" applyBorder="1" applyAlignment="1">
      <x:alignment horizontal="center"/>
    </x:xf>
    <x:xf numFmtId="200" fontId="0" fillId="5" borderId="31" xfId="0" applyNumberFormat="1" applyFont="1" applyFill="1" applyBorder="1" applyAlignment="1">
      <x:alignment horizontal="center"/>
    </x:xf>
    <x:xf numFmtId="0" fontId="2" fillId="3" borderId="32" xfId="0" applyNumberFormat="1" applyFont="1" applyFill="1" applyBorder="1" applyAlignment="1">
      <x:alignment horizontal="center" vertical="center"/>
    </x:xf>
    <x:xf numFmtId="0" fontId="3" fillId="4" borderId="33" xfId="0" applyNumberFormat="1" applyFont="1" applyFill="1" applyBorder="1" applyAlignment="1">
      <x:alignment horizontal="left" vertical="center"/>
    </x:xf>
    <x:xf numFmtId="0" fontId="0" fillId="0" borderId="33" xfId="0" applyNumberFormat="1" applyFont="1" applyFill="1" applyBorder="1"/>
    <x:xf numFmtId="0" fontId="4" fillId="3" borderId="33" xfId="0" applyNumberFormat="1" applyFont="1" applyFill="1" applyBorder="1" applyAlignment="1">
      <x:alignment horizontal="center"/>
    </x:xf>
    <x:xf numFmtId="200" fontId="0" fillId="5" borderId="34" xfId="0" applyNumberFormat="1" applyFont="1" applyFill="1" applyBorder="1" applyAlignment="1">
      <x:alignment horizontal="center"/>
    </x:xf>
    <x:xf numFmtId="0" fontId="0" fillId="5" borderId="34" xfId="0" applyNumberFormat="1" applyFont="1" applyFill="1" applyBorder="1" applyAlignment="1">
      <x:alignment horizontal="center"/>
    </x:xf>
    <x:xf numFmtId="0" fontId="0" fillId="0" borderId="34" xfId="0" applyNumberFormat="1" applyFont="1" applyFill="1" applyBorder="1"/>
    <x:xf numFmtId="0" fontId="2" fillId="3" borderId="35" xfId="0" applyNumberFormat="1" applyFont="1" applyFill="1" applyBorder="1" applyAlignment="1">
      <x:alignment horizontal="center" vertical="center"/>
    </x:xf>
    <x:xf numFmtId="200" fontId="3" fillId="4" borderId="36" xfId="0" applyNumberFormat="1" applyFont="1" applyFill="1" applyBorder="1" applyAlignment="1">
      <x:alignment horizontal="left" vertical="center"/>
    </x:xf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4" fillId="3" borderId="20" xfId="0" applyNumberFormat="1" applyFont="1" applyFill="1" applyBorder="1" applyAlignment="1">
      <x:alignment horizontal="center"/>
    </x:xf>
    <x:xf numFmtId="0" fontId="4" fillId="3" borderId="23" xfId="0" applyNumberFormat="1" applyFont="1" applyFill="1" applyBorder="1" applyAlignment="1">
      <x:alignment horizontal="center"/>
    </x:xf>
    <x:xf numFmtId="0" fontId="4" fillId="3" borderId="26" xfId="0" applyNumberFormat="1" applyFont="1" applyFill="1" applyBorder="1" applyAlignment="1">
      <x:alignment horizontal="center"/>
    </x:xf>
    <x:xf numFmtId="0" fontId="0" fillId="5" borderId="28" xfId="0" applyNumberFormat="1" applyFont="1" applyFill="1" applyBorder="1" applyAlignment="1">
      <x:alignment horizontal="center"/>
    </x:xf>
    <x:xf numFmtId="0" fontId="4" fillId="3" borderId="29" xfId="0" applyNumberFormat="1" applyFont="1" applyFill="1" applyBorder="1" applyAlignment="1">
      <x:alignment horizontal="center"/>
    </x:xf>
    <x:xf numFmtId="0" fontId="4" fillId="3" borderId="32" xfId="0" applyNumberFormat="1" applyFont="1" applyFill="1" applyBorder="1" applyAlignment="1">
      <x:alignment horizontal="center"/>
    </x:xf>
    <x:xf numFmtId="0" fontId="4" fillId="3" borderId="35" xfId="0" applyNumberFormat="1" applyFont="1" applyFill="1" applyBorder="1" applyAlignment="1">
      <x:alignment horizontal="center"/>
    </x:xf>
    <x:xf numFmtId="0" fontId="0" fillId="5" borderId="37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20" xfId="0" applyNumberFormat="1" applyFont="1" applyFill="1" applyBorder="1" applyAlignment="1">
      <x:alignment horizontal="center" vertical="center"/>
    </x:xf>
    <x:xf numFmtId="0" fontId="9" fillId="4" borderId="21" xfId="0" applyNumberFormat="1" applyFont="1" applyFill="1" applyBorder="1" applyAlignment="1">
      <x:alignment horizontal="left" vertical="center"/>
    </x:xf>
    <x:xf numFmtId="0" fontId="7" fillId="0" borderId="21" xfId="0" applyNumberFormat="1" applyFont="1" applyFill="1" applyBorder="1"/>
    <x:xf numFmtId="0" fontId="10" fillId="3" borderId="20" xfId="0" applyNumberFormat="1" applyFont="1" applyFill="1" applyBorder="1" applyAlignment="1">
      <x:alignment horizontal="center"/>
    </x:xf>
    <x:xf numFmtId="200" fontId="7" fillId="5" borderId="22" xfId="0" applyNumberFormat="1" applyFont="1" applyFill="1" applyBorder="1" applyAlignment="1">
      <x:alignment horizontal="center"/>
    </x:xf>
    <x:xf numFmtId="0" fontId="8" fillId="3" borderId="23" xfId="0" applyNumberFormat="1" applyFont="1" applyFill="1" applyBorder="1" applyAlignment="1">
      <x:alignment horizontal="center" vertical="center"/>
    </x:xf>
    <x:xf numFmtId="0" fontId="9" fillId="4" borderId="24" xfId="0" applyNumberFormat="1" applyFont="1" applyFill="1" applyBorder="1" applyAlignment="1">
      <x:alignment horizontal="left" vertical="center"/>
    </x:xf>
    <x:xf numFmtId="0" fontId="7" fillId="0" borderId="24" xfId="0" applyNumberFormat="1" applyFont="1" applyFill="1" applyBorder="1"/>
    <x:xf numFmtId="0" fontId="10" fillId="3" borderId="23" xfId="0" applyNumberFormat="1" applyFont="1" applyFill="1" applyBorder="1" applyAlignment="1">
      <x:alignment horizontal="center"/>
    </x:xf>
    <x:xf numFmtId="200" fontId="7" fillId="5" borderId="25" xfId="0" applyNumberFormat="1" applyFont="1" applyFill="1" applyBorder="1" applyAlignment="1">
      <x:alignment horizontal="center"/>
    </x:xf>
    <x:xf numFmtId="0" fontId="7" fillId="5" borderId="25" xfId="0" applyNumberFormat="1" applyFont="1" applyFill="1" applyBorder="1" applyAlignment="1">
      <x:alignment horizontal="center"/>
    </x:xf>
    <x:xf numFmtId="0" fontId="10" fillId="3" borderId="26" xfId="0" applyNumberFormat="1" applyFont="1" applyFill="1" applyBorder="1" applyAlignment="1">
      <x:alignment horizontal="center"/>
    </x:xf>
    <x:xf numFmtId="0" fontId="7" fillId="5" borderId="28" xfId="0" applyNumberFormat="1" applyFont="1" applyFill="1" applyBorder="1" applyAlignment="1">
      <x:alignment horizontal="center"/>
    </x:xf>
    <x:xf numFmtId="0" fontId="7" fillId="0" borderId="25" xfId="0" applyNumberFormat="1" applyFont="1" applyFill="1" applyBorder="1"/>
    <x:xf numFmtId="0" fontId="8" fillId="3" borderId="26" xfId="0" applyNumberFormat="1" applyFont="1" applyFill="1" applyBorder="1" applyAlignment="1">
      <x:alignment horizontal="center" vertical="center"/>
    </x:xf>
    <x:xf numFmtId="200" fontId="9" fillId="4" borderId="27" xfId="0" applyNumberFormat="1" applyFont="1" applyFill="1" applyBorder="1" applyAlignment="1">
      <x:alignment horizontal="left" vertical="center"/>
    </x:xf>
    <x:xf numFmtId="0" fontId="7" fillId="0" borderId="27" xfId="0" applyNumberFormat="1" applyFont="1" applyFill="1" applyBorder="1"/>
    <x:xf numFmtId="0" fontId="7" fillId="0" borderId="28" xfId="0" applyNumberFormat="1" applyFont="1" applyFill="1" applyBorder="1"/>
    <x:xf numFmtId="0" fontId="11" fillId="6" borderId="0" xfId="0" applyNumberFormat="1" applyFont="1" applyFill="1" applyBorder="1" applyAlignment="1">
      <x:alignment horizontal="center" vertical="center"/>
    </x:xf>
    <x:xf numFmtId="0" fontId="7" fillId="0" borderId="2" xfId="0" applyNumberFormat="1" applyFont="1" applyFill="1" applyBorder="1" applyAlignment="1">
      <x:alignment horizontal="center"/>
    </x:xf>
    <x:xf numFmtId="0" fontId="7" fillId="0" borderId="3" xfId="0" applyNumberFormat="1" applyFont="1" applyFill="1" applyBorder="1"/>
    <x:xf numFmtId="200" fontId="7" fillId="4" borderId="4" xfId="0" applyNumberFormat="1" applyFont="1" applyFill="1" applyBorder="1" applyAlignment="1">
      <x:alignment horizontal="right"/>
    </x:xf>
    <x:xf numFmtId="0" fontId="7" fillId="0" borderId="5" xfId="0" applyNumberFormat="1" applyFont="1" applyFill="1" applyBorder="1" applyAlignment="1">
      <x:alignment horizontal="center"/>
    </x:xf>
    <x:xf numFmtId="0" fontId="7" fillId="0" borderId="6" xfId="0" applyNumberFormat="1" applyFont="1" applyFill="1" applyBorder="1"/>
    <x:xf numFmtId="200" fontId="7" fillId="4" borderId="7" xfId="0" applyNumberFormat="1" applyFont="1" applyFill="1" applyBorder="1" applyAlignment="1">
      <x:alignment horizontal="right"/>
    </x:xf>
    <x:xf numFmtId="0" fontId="7" fillId="0" borderId="8" xfId="0" applyNumberFormat="1" applyFont="1" applyFill="1" applyBorder="1" applyAlignment="1">
      <x:alignment horizontal="center"/>
    </x:xf>
    <x:xf numFmtId="0" fontId="7" fillId="0" borderId="9" xfId="0" applyNumberFormat="1" applyFont="1" applyFill="1" applyBorder="1"/>
    <x:xf numFmtId="200" fontId="7" fillId="4" borderId="10" xfId="0" applyNumberFormat="1" applyFont="1" applyFill="1" applyBorder="1" applyAlignment="1">
      <x:alignment horizontal="right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/>
    <x:xf numFmtId="0" fontId="8" fillId="3" borderId="29" xfId="0" applyNumberFormat="1" applyFont="1" applyFill="1" applyBorder="1" applyAlignment="1">
      <x:alignment horizontal="center" vertical="center"/>
    </x:xf>
    <x:xf numFmtId="0" fontId="9" fillId="4" borderId="30" xfId="0" applyNumberFormat="1" applyFont="1" applyFill="1" applyBorder="1" applyAlignment="1">
      <x:alignment horizontal="left" vertical="center"/>
    </x:xf>
    <x:xf numFmtId="0" fontId="7" fillId="0" borderId="30" xfId="0" applyNumberFormat="1" applyFont="1" applyFill="1" applyBorder="1"/>
    <x:xf numFmtId="0" fontId="10" fillId="3" borderId="29" xfId="0" applyNumberFormat="1" applyFont="1" applyFill="1" applyBorder="1" applyAlignment="1">
      <x:alignment horizontal="center"/>
    </x:xf>
    <x:xf numFmtId="200" fontId="7" fillId="5" borderId="31" xfId="0" applyNumberFormat="1" applyFont="1" applyFill="1" applyBorder="1" applyAlignment="1">
      <x:alignment horizontal="center"/>
    </x:xf>
    <x:xf numFmtId="0" fontId="8" fillId="3" borderId="32" xfId="0" applyNumberFormat="1" applyFont="1" applyFill="1" applyBorder="1" applyAlignment="1">
      <x:alignment horizontal="center" vertical="center"/>
    </x:xf>
    <x:xf numFmtId="0" fontId="9" fillId="4" borderId="33" xfId="0" applyNumberFormat="1" applyFont="1" applyFill="1" applyBorder="1" applyAlignment="1">
      <x:alignment horizontal="left" vertical="center"/>
    </x:xf>
    <x:xf numFmtId="0" fontId="7" fillId="0" borderId="33" xfId="0" applyNumberFormat="1" applyFont="1" applyFill="1" applyBorder="1"/>
    <x:xf numFmtId="0" fontId="10" fillId="3" borderId="32" xfId="0" applyNumberFormat="1" applyFont="1" applyFill="1" applyBorder="1" applyAlignment="1">
      <x:alignment horizontal="center"/>
    </x:xf>
    <x:xf numFmtId="200" fontId="7" fillId="5" borderId="34" xfId="0" applyNumberFormat="1" applyFont="1" applyFill="1" applyBorder="1" applyAlignment="1">
      <x:alignment horizontal="center"/>
    </x:xf>
    <x:xf numFmtId="0" fontId="7" fillId="5" borderId="34" xfId="0" applyNumberFormat="1" applyFont="1" applyFill="1" applyBorder="1" applyAlignment="1">
      <x:alignment horizontal="center"/>
    </x:xf>
    <x:xf numFmtId="0" fontId="10" fillId="3" borderId="35" xfId="0" applyNumberFormat="1" applyFont="1" applyFill="1" applyBorder="1" applyAlignment="1">
      <x:alignment horizontal="center"/>
    </x:xf>
    <x:xf numFmtId="0" fontId="7" fillId="5" borderId="37" xfId="0" applyNumberFormat="1" applyFont="1" applyFill="1" applyBorder="1" applyAlignment="1">
      <x:alignment horizontal="center"/>
    </x:xf>
    <x:xf numFmtId="0" fontId="7" fillId="0" borderId="34" xfId="0" applyNumberFormat="1" applyFont="1" applyFill="1" applyBorder="1"/>
    <x:xf numFmtId="0" fontId="8" fillId="3" borderId="35" xfId="0" applyNumberFormat="1" applyFont="1" applyFill="1" applyBorder="1" applyAlignment="1">
      <x:alignment horizontal="center" vertical="center"/>
    </x:xf>
    <x:xf numFmtId="200" fontId="9" fillId="4" borderId="36" xfId="0" applyNumberFormat="1" applyFont="1" applyFill="1" applyBorder="1" applyAlignment="1">
      <x:alignment horizontal="left" vertical="center"/>
    </x:xf>
    <x:xf numFmtId="0" fontId="7" fillId="0" borderId="36" xfId="0" applyNumberFormat="1" applyFont="1" applyFill="1" applyBorder="1"/>
    <x:xf numFmtId="0" fontId="7" fillId="0" borderId="37" xfId="0" applyNumberFormat="1" applyFont="1" applyFill="1" applyBorder="1"/>
    <x:xf numFmtId="0" fontId="11" fillId="6" borderId="1" xfId="0" applyNumberFormat="1" applyFont="1" applyFill="1" applyBorder="1" applyAlignment="1">
      <x:alignment horizontal="center" vertical="center"/>
    </x:xf>
    <x:xf numFmtId="0" fontId="7" fillId="0" borderId="11" xfId="0" applyNumberFormat="1" applyFont="1" applyFill="1" applyBorder="1" applyAlignment="1">
      <x:alignment horizontal="center"/>
    </x:xf>
    <x:xf numFmtId="0" fontId="7" fillId="0" borderId="12" xfId="0" applyNumberFormat="1" applyFont="1" applyFill="1" applyBorder="1"/>
    <x:xf numFmtId="200" fontId="7" fillId="4" borderId="13" xfId="0" applyNumberFormat="1" applyFont="1" applyFill="1" applyBorder="1" applyAlignment="1">
      <x:alignment horizontal="right"/>
    </x:xf>
    <x:xf numFmtId="0" fontId="7" fillId="0" borderId="14" xfId="0" applyNumberFormat="1" applyFont="1" applyFill="1" applyBorder="1" applyAlignment="1">
      <x:alignment horizontal="center"/>
    </x:xf>
    <x:xf numFmtId="0" fontId="7" fillId="0" borderId="15" xfId="0" applyNumberFormat="1" applyFont="1" applyFill="1" applyBorder="1"/>
    <x:xf numFmtId="200" fontId="7" fillId="4" borderId="16" xfId="0" applyNumberFormat="1" applyFont="1" applyFill="1" applyBorder="1" applyAlignment="1">
      <x:alignment horizontal="right"/>
    </x:xf>
    <x:xf numFmtId="0" fontId="7" fillId="0" borderId="17" xfId="0" applyNumberFormat="1" applyFont="1" applyFill="1" applyBorder="1" applyAlignment="1">
      <x:alignment horizontal="center"/>
    </x:xf>
    <x:xf numFmtId="0" fontId="7" fillId="0" borderId="18" xfId="0" applyNumberFormat="1" applyFont="1" applyFill="1" applyBorder="1"/>
    <x:xf numFmtId="200" fontId="7" fillId="4" borderId="19" xfId="0" applyNumberFormat="1" applyFont="1" applyFill="1" applyBorder="1" applyAlignment="1">
      <x:alignment horizontal="right"/>
    </x:xf>
    <x:xf numFmtId="0" fontId="7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540e8a6c44d88" /><Relationship Type="http://schemas.openxmlformats.org/officeDocument/2006/relationships/theme" Target="/xl/theme/theme1.xml" Id="R0f01a83d3d6c4a76" /><Relationship Type="http://schemas.openxmlformats.org/officeDocument/2006/relationships/sharedStrings" Target="/xl/sharedStrings.xml" Id="Re0055d9b1d1c4510" /><Relationship Type="http://schemas.openxmlformats.org/officeDocument/2006/relationships/worksheet" Target="/xl/worksheets/sheet1.xml" Id="R6eaa6d38a87b45ac" /><Relationship Type="http://schemas.openxmlformats.org/officeDocument/2006/relationships/worksheet" Target="/xl/worksheets/sheet2.xml" Id="Reba4b472ed8143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3" hidden="0" customWidth="1"/>
    <x:col min="5" max="5" width="16" hidden="0" customWidth="1"/>
    <x:col min="6" max="6" width="16" hidden="0" customWidth="1"/>
  </x:cols>
  <x:sheetData>
    <x:row r="1" ht="34" customHeight="1">
      <x:c r="A1" s="110" t="str">
        <x:v>PYT 등록용 - 1차</x:v>
      </x:c>
      <x:c r="B1" s="111"/>
      <x:c r="C1" s="111"/>
      <x:c r="D1" s="111"/>
      <x:c r="E1" s="111"/>
      <x:c r="F1" s="111"/>
    </x:row>
    <x:row r="2">
      <x:c r="A2" s="111"/>
      <x:c r="B2" s="111"/>
      <x:c r="C2" s="111"/>
      <x:c r="D2" s="111"/>
      <x:c r="E2" s="111"/>
      <x:c r="F2" s="111"/>
    </x:row>
    <x:row r="3">
      <x:c r="A3" s="112" t="str">
        <x:v>브레이크 제목</x:v>
      </x:c>
      <x:c r="B3" s="113" t="str"/>
      <x:c r="C3" s="114"/>
      <x:c r="D3"/>
      <x:c r="E3" s="116" t="str">
        <x:f>"팀 가격 합계"</x:f>
        <x:v>팀 가격 합계</x:v>
      </x:c>
      <x:c r="F3" s="111" t="n">
        <x:f>SUM(C12:C41)</x:f>
        <x:v>0</x:v>
      </x:c>
    </x:row>
    <x:row r="4">
      <x:c r="A4" s="117" t="str">
        <x:v>상품 옵션</x:v>
      </x:c>
      <x:c r="B4" s="118" t="str"/>
      <x:c r="C4" s="119"/>
      <x:c r="D4"/>
      <x:c r="E4" s="121" t="str">
        <x:f>"차액"</x:f>
        <x:v>차액</x:v>
      </x:c>
      <x:c r="F4" s="111" t="n">
        <x:f>B8-F3</x:f>
        <x:v>0</x:v>
      </x:c>
    </x:row>
    <x:row r="5">
      <x:c r="A5" s="117" t="str">
        <x:v>진행 단위</x:v>
      </x:c>
      <x:c r="B5" s="118" t="str">
        <x:v>한케이스</x:v>
      </x:c>
      <x:c r="C5" s="119"/>
      <x:c r="D5"/>
      <x:c r="E5" s="122" t="str">
        <x:f>"등록 체크"</x:f>
        <x:v>등록 체크</x:v>
      </x:c>
      <x:c r="F5" s="111" t="str">
        <x:f>IF(F4=0,"등록 가능","금액 확인")</x:f>
        <x:v>등록 가능</x:v>
      </x:c>
    </x:row>
    <x:row r="6">
      <x:c r="A6" s="117" t="str">
        <x:v>박스 수</x:v>
      </x:c>
      <x:c r="B6" s="118" t="str"/>
      <x:c r="C6" s="119"/>
      <x:c r="D6"/>
      <x:c r="E6" s="124" t="str">
        <x:f>"입력 기준"</x:f>
        <x:v>입력 기준</x:v>
      </x:c>
      <x:c r="F6" s="111" t="str">
        <x:f>"노란색 칸만 입력"</x:f>
        <x:v>노란색 칸만 입력</x:v>
      </x:c>
    </x:row>
    <x:row r="7">
      <x:c r="A7" s="117" t="str">
        <x:v>차수</x:v>
      </x:c>
      <x:c r="B7" s="118" t="n">
        <x:v>1</x:v>
      </x:c>
      <x:c r="C7" s="119"/>
      <x:c r="D7"/>
      <x:c r="E7" s="125"/>
      <x:c r="F7" s="111"/>
    </x:row>
    <x:row r="8">
      <x:c r="A8" s="126" t="str">
        <x:v>전체 판매가</x:v>
      </x:c>
      <x:c r="B8" s="127" t="str"/>
      <x:c r="C8" s="128"/>
      <x:c r="D8"/>
      <x:c r="E8" s="129"/>
      <x:c r="F8" s="111"/>
    </x:row>
    <x:row r="9">
      <x:c r="A9" s="111"/>
      <x:c r="B9" s="111"/>
      <x:c r="C9" s="111"/>
      <x:c r="D9" s="111"/>
      <x:c r="E9" s="111"/>
      <x:c r="F9" s="111"/>
    </x:row>
    <x:row r="10">
      <x:c r="A10" s="111"/>
      <x:c r="B10" s="111"/>
      <x:c r="C10" s="111"/>
      <x:c r="D10" s="111"/>
      <x:c r="E10" s="111"/>
      <x:c r="F10" s="111"/>
    </x:row>
    <x:row r="11">
      <x:c r="A11" s="130" t="str">
        <x:v>팀 ID</x:v>
      </x:c>
      <x:c r="B11" s="130" t="str">
        <x:v>팀명</x:v>
      </x:c>
      <x:c r="C11" s="130" t="str">
        <x:v>판매가</x:v>
      </x:c>
      <x:c r="D11" s="172" t="str">
        <x:v>필러 전용</x:v>
      </x:c>
      <x:c r="E11" s="111"/>
      <x:c r="F11" s="111"/>
    </x:row>
    <x:row r="12">
      <x:c r="A12" s="131" t="n">
        <x:v>1</x:v>
      </x:c>
      <x:c r="B12" s="132" t="str">
        <x:v>Arizona Diamondbacks</x:v>
      </x:c>
      <x:c r="C12" s="133" t="str"/>
      <x:c r="D12" s="174"/>
      <x:c r="E12" s="111"/>
      <x:c r="F12" s="111"/>
    </x:row>
    <x:row r="13">
      <x:c r="A13" s="134" t="n">
        <x:v>2</x:v>
      </x:c>
      <x:c r="B13" s="135" t="str">
        <x:v>Atlanta Braves</x:v>
      </x:c>
      <x:c r="C13" s="136" t="str"/>
      <x:c r="D13" s="174"/>
      <x:c r="E13" s="111"/>
      <x:c r="F13" s="111"/>
    </x:row>
    <x:row r="14">
      <x:c r="A14" s="134" t="n">
        <x:v>3</x:v>
      </x:c>
      <x:c r="B14" s="135" t="str">
        <x:v>Baltimore Orioles</x:v>
      </x:c>
      <x:c r="C14" s="136" t="str"/>
      <x:c r="D14" s="174"/>
      <x:c r="E14" s="111"/>
      <x:c r="F14" s="111"/>
    </x:row>
    <x:row r="15">
      <x:c r="A15" s="134" t="n">
        <x:v>4</x:v>
      </x:c>
      <x:c r="B15" s="135" t="str">
        <x:v>Boston Red Sox</x:v>
      </x:c>
      <x:c r="C15" s="136" t="str"/>
      <x:c r="D15" s="174"/>
      <x:c r="E15" s="111"/>
      <x:c r="F15" s="111"/>
    </x:row>
    <x:row r="16">
      <x:c r="A16" s="134" t="n">
        <x:v>5</x:v>
      </x:c>
      <x:c r="B16" s="135" t="str">
        <x:v>Chicago Cubs</x:v>
      </x:c>
      <x:c r="C16" s="136" t="str"/>
      <x:c r="D16" s="174"/>
      <x:c r="E16" s="111"/>
      <x:c r="F16" s="111"/>
    </x:row>
    <x:row r="17">
      <x:c r="A17" s="134" t="n">
        <x:v>6</x:v>
      </x:c>
      <x:c r="B17" s="135" t="str">
        <x:v>Chicago White Sox</x:v>
      </x:c>
      <x:c r="C17" s="136" t="str"/>
      <x:c r="D17" s="174"/>
      <x:c r="E17" s="111"/>
      <x:c r="F17" s="111"/>
    </x:row>
    <x:row r="18">
      <x:c r="A18" s="134" t="n">
        <x:v>7</x:v>
      </x:c>
      <x:c r="B18" s="135" t="str">
        <x:v>Cincinnati Reds</x:v>
      </x:c>
      <x:c r="C18" s="136" t="str"/>
      <x:c r="D18" s="174"/>
      <x:c r="E18" s="111"/>
      <x:c r="F18" s="111"/>
    </x:row>
    <x:row r="19">
      <x:c r="A19" s="134" t="n">
        <x:v>8</x:v>
      </x:c>
      <x:c r="B19" s="135" t="str">
        <x:v>Cleveland Guardians</x:v>
      </x:c>
      <x:c r="C19" s="136" t="str"/>
      <x:c r="D19" s="174"/>
      <x:c r="E19" s="111"/>
      <x:c r="F19" s="111"/>
    </x:row>
    <x:row r="20">
      <x:c r="A20" s="134" t="n">
        <x:v>9</x:v>
      </x:c>
      <x:c r="B20" s="135" t="str">
        <x:v>Colorado Rockies</x:v>
      </x:c>
      <x:c r="C20" s="136" t="str"/>
      <x:c r="D20" s="174"/>
      <x:c r="E20" s="111"/>
      <x:c r="F20" s="111"/>
    </x:row>
    <x:row r="21">
      <x:c r="A21" s="134" t="n">
        <x:v>10</x:v>
      </x:c>
      <x:c r="B21" s="135" t="str">
        <x:v>Detroit Tigers</x:v>
      </x:c>
      <x:c r="C21" s="136" t="str"/>
      <x:c r="D21" s="174"/>
      <x:c r="E21" s="111"/>
      <x:c r="F21" s="111"/>
    </x:row>
    <x:row r="22">
      <x:c r="A22" s="134" t="n">
        <x:v>11</x:v>
      </x:c>
      <x:c r="B22" s="135" t="str">
        <x:v>Houston Astros</x:v>
      </x:c>
      <x:c r="C22" s="136" t="str"/>
      <x:c r="D22" s="174"/>
      <x:c r="E22" s="111"/>
      <x:c r="F22" s="111"/>
    </x:row>
    <x:row r="23">
      <x:c r="A23" s="134" t="n">
        <x:v>12</x:v>
      </x:c>
      <x:c r="B23" s="135" t="str">
        <x:v>Kansas City Royals</x:v>
      </x:c>
      <x:c r="C23" s="136" t="str"/>
      <x:c r="D23" s="174"/>
      <x:c r="E23" s="111"/>
      <x:c r="F23" s="111"/>
    </x:row>
    <x:row r="24">
      <x:c r="A24" s="134" t="n">
        <x:v>13</x:v>
      </x:c>
      <x:c r="B24" s="135" t="str">
        <x:v>Los Angeles Angels</x:v>
      </x:c>
      <x:c r="C24" s="136" t="str"/>
      <x:c r="D24" s="174"/>
      <x:c r="E24" s="111"/>
      <x:c r="F24" s="111"/>
    </x:row>
    <x:row r="25">
      <x:c r="A25" s="134" t="n">
        <x:v>14</x:v>
      </x:c>
      <x:c r="B25" s="135" t="str">
        <x:v>Los Angeles Dodgers</x:v>
      </x:c>
      <x:c r="C25" s="136" t="str"/>
      <x:c r="D25" s="174"/>
      <x:c r="E25" s="111"/>
      <x:c r="F25" s="111"/>
    </x:row>
    <x:row r="26">
      <x:c r="A26" s="134" t="n">
        <x:v>15</x:v>
      </x:c>
      <x:c r="B26" s="135" t="str">
        <x:v>Miami Marlins</x:v>
      </x:c>
      <x:c r="C26" s="136" t="str"/>
      <x:c r="D26" s="174"/>
      <x:c r="E26" s="111"/>
      <x:c r="F26" s="111"/>
    </x:row>
    <x:row r="27">
      <x:c r="A27" s="134" t="n">
        <x:v>16</x:v>
      </x:c>
      <x:c r="B27" s="135" t="str">
        <x:v>Milwaukee Brewers</x:v>
      </x:c>
      <x:c r="C27" s="136" t="str"/>
      <x:c r="D27" s="174"/>
      <x:c r="E27" s="111"/>
      <x:c r="F27" s="111"/>
    </x:row>
    <x:row r="28">
      <x:c r="A28" s="134" t="n">
        <x:v>17</x:v>
      </x:c>
      <x:c r="B28" s="135" t="str">
        <x:v>Minnesota Twins</x:v>
      </x:c>
      <x:c r="C28" s="136" t="str"/>
      <x:c r="D28" s="174"/>
      <x:c r="E28" s="111"/>
      <x:c r="F28" s="111"/>
    </x:row>
    <x:row r="29">
      <x:c r="A29" s="134" t="n">
        <x:v>18</x:v>
      </x:c>
      <x:c r="B29" s="135" t="str">
        <x:v>New York Mets</x:v>
      </x:c>
      <x:c r="C29" s="136" t="str"/>
      <x:c r="D29" s="174"/>
      <x:c r="E29" s="111"/>
      <x:c r="F29" s="111"/>
    </x:row>
    <x:row r="30">
      <x:c r="A30" s="134" t="n">
        <x:v>19</x:v>
      </x:c>
      <x:c r="B30" s="135" t="str">
        <x:v>New York Yankees</x:v>
      </x:c>
      <x:c r="C30" s="136" t="str"/>
      <x:c r="D30" s="174"/>
      <x:c r="E30" s="111"/>
      <x:c r="F30" s="111"/>
    </x:row>
    <x:row r="31">
      <x:c r="A31" s="134" t="n">
        <x:v>20</x:v>
      </x:c>
      <x:c r="B31" s="135" t="str">
        <x:v>Athletics</x:v>
      </x:c>
      <x:c r="C31" s="136" t="str"/>
      <x:c r="D31" s="174"/>
      <x:c r="E31" s="111"/>
      <x:c r="F31" s="111"/>
    </x:row>
    <x:row r="32">
      <x:c r="A32" s="134" t="n">
        <x:v>21</x:v>
      </x:c>
      <x:c r="B32" s="135" t="str">
        <x:v>Philadelphia Phillies</x:v>
      </x:c>
      <x:c r="C32" s="136" t="str"/>
      <x:c r="D32" s="174"/>
      <x:c r="E32" s="111"/>
      <x:c r="F32" s="111"/>
    </x:row>
    <x:row r="33">
      <x:c r="A33" s="134" t="n">
        <x:v>22</x:v>
      </x:c>
      <x:c r="B33" s="135" t="str">
        <x:v>Pittsburgh Pirates</x:v>
      </x:c>
      <x:c r="C33" s="136" t="str"/>
      <x:c r="D33" s="174"/>
      <x:c r="E33" s="111"/>
      <x:c r="F33" s="111"/>
    </x:row>
    <x:row r="34">
      <x:c r="A34" s="134" t="n">
        <x:v>23</x:v>
      </x:c>
      <x:c r="B34" s="135" t="str">
        <x:v>San Diego Padres</x:v>
      </x:c>
      <x:c r="C34" s="136" t="str"/>
      <x:c r="D34" s="174"/>
      <x:c r="E34" s="111"/>
      <x:c r="F34" s="111"/>
    </x:row>
    <x:row r="35">
      <x:c r="A35" s="134" t="n">
        <x:v>24</x:v>
      </x:c>
      <x:c r="B35" s="135" t="str">
        <x:v>San Francisco Giants</x:v>
      </x:c>
      <x:c r="C35" s="136" t="str"/>
      <x:c r="D35" s="174"/>
      <x:c r="E35" s="111"/>
      <x:c r="F35" s="111"/>
    </x:row>
    <x:row r="36">
      <x:c r="A36" s="134" t="n">
        <x:v>25</x:v>
      </x:c>
      <x:c r="B36" s="135" t="str">
        <x:v>Seattle Mariners</x:v>
      </x:c>
      <x:c r="C36" s="136" t="str"/>
      <x:c r="D36" s="174"/>
      <x:c r="E36" s="111"/>
      <x:c r="F36" s="111"/>
    </x:row>
    <x:row r="37">
      <x:c r="A37" s="134" t="n">
        <x:v>26</x:v>
      </x:c>
      <x:c r="B37" s="135" t="str">
        <x:v>St. Louis Cardinals</x:v>
      </x:c>
      <x:c r="C37" s="136" t="str"/>
      <x:c r="D37" s="174"/>
      <x:c r="E37" s="111"/>
      <x:c r="F37" s="111"/>
    </x:row>
    <x:row r="38">
      <x:c r="A38" s="134" t="n">
        <x:v>27</x:v>
      </x:c>
      <x:c r="B38" s="135" t="str">
        <x:v>Tampa Bay Rays</x:v>
      </x:c>
      <x:c r="C38" s="136" t="str"/>
      <x:c r="D38" s="174"/>
      <x:c r="E38" s="111"/>
      <x:c r="F38" s="111"/>
    </x:row>
    <x:row r="39">
      <x:c r="A39" s="134" t="n">
        <x:v>28</x:v>
      </x:c>
      <x:c r="B39" s="135" t="str">
        <x:v>Texas Rangers</x:v>
      </x:c>
      <x:c r="C39" s="136" t="str"/>
      <x:c r="D39" s="174"/>
      <x:c r="E39" s="111"/>
      <x:c r="F39" s="111"/>
    </x:row>
    <x:row r="40">
      <x:c r="A40" s="134" t="n">
        <x:v>29</x:v>
      </x:c>
      <x:c r="B40" s="135" t="str">
        <x:v>Toronto Blue Jays</x:v>
      </x:c>
      <x:c r="C40" s="136" t="str"/>
      <x:c r="D40" s="174"/>
      <x:c r="E40" s="111"/>
      <x:c r="F40" s="111"/>
    </x:row>
    <x:row r="41">
      <x:c r="A41" s="137" t="n">
        <x:v>30</x:v>
      </x:c>
      <x:c r="B41" s="138" t="str">
        <x:v>Washington Nationals</x:v>
      </x:c>
      <x:c r="C41" s="139" t="str"/>
      <x:c r="D41" s="174"/>
      <x:c r="E41" s="111"/>
      <x:c r="F41" s="111"/>
    </x:row>
    <x:row r="42">
      <x:c r="A42" s="111"/>
      <x:c r="B42" s="111"/>
      <x:c r="C42" s="111"/>
      <x:c r="D42" s="111"/>
      <x:c r="E42" s="111"/>
      <x:c r="F42" s="111"/>
    </x:row>
    <x:row r="43">
      <x:c r="A43" s="111"/>
      <x:c r="B43" s="111"/>
      <x:c r="C43" s="111"/>
      <x:c r="D43" s="111"/>
      <x:c r="E43" s="111"/>
      <x:c r="F43" s="111"/>
    </x:row>
    <x:row r="44">
      <x:c r="A44" s="111"/>
      <x:c r="B44" s="111"/>
      <x:c r="C44" s="111"/>
      <x:c r="D44" s="111"/>
      <x:c r="E44" s="111"/>
      <x:c r="F44" s="111"/>
    </x:row>
    <x:row r="45">
      <x:c r="A45" s="111"/>
      <x:c r="B45" s="111"/>
      <x:c r="C45" s="111"/>
      <x:c r="D45" s="111"/>
      <x:c r="E45" s="111"/>
      <x:c r="F45" s="111"/>
    </x:row>
  </x:sheetData>
  <x:mergeCells>
    <x:mergeCell ref="A1:F1"/>
  </x:mergeCells>
  <x:dataValidations count="1">
    <x:dataValidation type="list" sqref="B5">
      <x:formula1>"한케이스,반케이스,박스단위"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3" hidden="0" customWidth="1"/>
    <x:col min="5" max="5" width="16" hidden="0" customWidth="1"/>
    <x:col min="6" max="6" width="16" hidden="0" customWidth="1"/>
  </x:cols>
  <x:sheetData>
    <x:row r="1" ht="34" customHeight="1">
      <x:c r="A1" s="110" t="str">
        <x:v>PYT 등록용 - 2차</x:v>
      </x:c>
      <x:c r="B1" s="111"/>
      <x:c r="C1" s="111"/>
      <x:c r="D1" s="111"/>
      <x:c r="E1" s="111"/>
      <x:c r="F1" s="111"/>
    </x:row>
    <x:row r="2">
      <x:c r="A2" s="111"/>
      <x:c r="B2" s="111"/>
      <x:c r="C2" s="111"/>
      <x:c r="D2" s="111"/>
      <x:c r="E2" s="111"/>
      <x:c r="F2" s="111"/>
    </x:row>
    <x:row r="3">
      <x:c r="A3" s="112" t="str">
        <x:v>브레이크 제목</x:v>
      </x:c>
      <x:c r="B3" s="113" t="str"/>
      <x:c r="C3" s="114"/>
      <x:c r="D3"/>
      <x:c r="E3" s="116" t="str">
        <x:f>"팀 가격 합계"</x:f>
        <x:v>팀 가격 합계</x:v>
      </x:c>
      <x:c r="F3" s="111" t="n">
        <x:f>SUM(C12:C41)</x:f>
        <x:v>0</x:v>
      </x:c>
    </x:row>
    <x:row r="4">
      <x:c r="A4" s="117" t="str">
        <x:v>상품 옵션</x:v>
      </x:c>
      <x:c r="B4" s="118" t="str"/>
      <x:c r="C4" s="119"/>
      <x:c r="D4"/>
      <x:c r="E4" s="121" t="str">
        <x:f>"차액"</x:f>
        <x:v>차액</x:v>
      </x:c>
      <x:c r="F4" s="111" t="n">
        <x:f>B8-F3</x:f>
        <x:v>0</x:v>
      </x:c>
    </x:row>
    <x:row r="5">
      <x:c r="A5" s="117" t="str">
        <x:v>진행 단위</x:v>
      </x:c>
      <x:c r="B5" s="118" t="str">
        <x:v>한케이스</x:v>
      </x:c>
      <x:c r="C5" s="119"/>
      <x:c r="D5"/>
      <x:c r="E5" s="122" t="str">
        <x:f>"등록 체크"</x:f>
        <x:v>등록 체크</x:v>
      </x:c>
      <x:c r="F5" s="111" t="str">
        <x:f>IF(F4=0,"등록 가능","금액 확인")</x:f>
        <x:v>등록 가능</x:v>
      </x:c>
    </x:row>
    <x:row r="6">
      <x:c r="A6" s="117" t="str">
        <x:v>박스 수</x:v>
      </x:c>
      <x:c r="B6" s="118" t="str"/>
      <x:c r="C6" s="119"/>
      <x:c r="D6"/>
      <x:c r="E6" s="124" t="str">
        <x:f>"입력 기준"</x:f>
        <x:v>입력 기준</x:v>
      </x:c>
      <x:c r="F6" s="111" t="str">
        <x:f>"노란색 칸만 입력"</x:f>
        <x:v>노란색 칸만 입력</x:v>
      </x:c>
    </x:row>
    <x:row r="7">
      <x:c r="A7" s="117" t="str">
        <x:v>차수</x:v>
      </x:c>
      <x:c r="B7" s="118" t="n">
        <x:v>2</x:v>
      </x:c>
      <x:c r="C7" s="119"/>
      <x:c r="D7"/>
      <x:c r="E7" s="125"/>
      <x:c r="F7" s="111"/>
    </x:row>
    <x:row r="8">
      <x:c r="A8" s="126" t="str">
        <x:v>전체 판매가</x:v>
      </x:c>
      <x:c r="B8" s="127" t="str"/>
      <x:c r="C8" s="128"/>
      <x:c r="D8"/>
      <x:c r="E8" s="129"/>
      <x:c r="F8" s="111"/>
    </x:row>
    <x:row r="9">
      <x:c r="A9" s="111"/>
      <x:c r="B9" s="111"/>
      <x:c r="C9" s="111"/>
      <x:c r="D9" s="111"/>
      <x:c r="E9" s="111"/>
      <x:c r="F9" s="111"/>
    </x:row>
    <x:row r="10">
      <x:c r="A10" s="111"/>
      <x:c r="B10" s="111"/>
      <x:c r="C10" s="111"/>
      <x:c r="D10" s="111"/>
      <x:c r="E10" s="111"/>
      <x:c r="F10" s="111"/>
    </x:row>
    <x:row r="11">
      <x:c r="A11" s="130" t="str">
        <x:v>팀 ID</x:v>
      </x:c>
      <x:c r="B11" s="130" t="str">
        <x:v>팀명</x:v>
      </x:c>
      <x:c r="C11" s="130" t="str">
        <x:v>판매가</x:v>
      </x:c>
      <x:c r="D11" s="172" t="str">
        <x:v>필러 전용</x:v>
      </x:c>
      <x:c r="E11" s="111"/>
      <x:c r="F11" s="111"/>
    </x:row>
    <x:row r="12">
      <x:c r="A12" s="131" t="n">
        <x:v>1</x:v>
      </x:c>
      <x:c r="B12" s="132" t="str">
        <x:v>Arizona Diamondbacks</x:v>
      </x:c>
      <x:c r="C12" s="133" t="str"/>
      <x:c r="D12" s="174"/>
      <x:c r="E12" s="111"/>
      <x:c r="F12" s="111"/>
    </x:row>
    <x:row r="13">
      <x:c r="A13" s="134" t="n">
        <x:v>2</x:v>
      </x:c>
      <x:c r="B13" s="135" t="str">
        <x:v>Atlanta Braves</x:v>
      </x:c>
      <x:c r="C13" s="136" t="str"/>
      <x:c r="D13" s="174"/>
      <x:c r="E13" s="111"/>
      <x:c r="F13" s="111"/>
    </x:row>
    <x:row r="14">
      <x:c r="A14" s="134" t="n">
        <x:v>3</x:v>
      </x:c>
      <x:c r="B14" s="135" t="str">
        <x:v>Baltimore Orioles</x:v>
      </x:c>
      <x:c r="C14" s="136" t="str"/>
      <x:c r="D14" s="174"/>
      <x:c r="E14" s="111"/>
      <x:c r="F14" s="111"/>
    </x:row>
    <x:row r="15">
      <x:c r="A15" s="134" t="n">
        <x:v>4</x:v>
      </x:c>
      <x:c r="B15" s="135" t="str">
        <x:v>Boston Red Sox</x:v>
      </x:c>
      <x:c r="C15" s="136" t="str"/>
      <x:c r="D15" s="174"/>
      <x:c r="E15" s="111"/>
      <x:c r="F15" s="111"/>
    </x:row>
    <x:row r="16">
      <x:c r="A16" s="134" t="n">
        <x:v>5</x:v>
      </x:c>
      <x:c r="B16" s="135" t="str">
        <x:v>Chicago Cubs</x:v>
      </x:c>
      <x:c r="C16" s="136" t="str"/>
      <x:c r="D16" s="174"/>
      <x:c r="E16" s="111"/>
      <x:c r="F16" s="111"/>
    </x:row>
    <x:row r="17">
      <x:c r="A17" s="134" t="n">
        <x:v>6</x:v>
      </x:c>
      <x:c r="B17" s="135" t="str">
        <x:v>Chicago White Sox</x:v>
      </x:c>
      <x:c r="C17" s="136" t="str"/>
      <x:c r="D17" s="174"/>
      <x:c r="E17" s="111"/>
      <x:c r="F17" s="111"/>
    </x:row>
    <x:row r="18">
      <x:c r="A18" s="134" t="n">
        <x:v>7</x:v>
      </x:c>
      <x:c r="B18" s="135" t="str">
        <x:v>Cincinnati Reds</x:v>
      </x:c>
      <x:c r="C18" s="136" t="str"/>
      <x:c r="D18" s="174"/>
      <x:c r="E18" s="111"/>
      <x:c r="F18" s="111"/>
    </x:row>
    <x:row r="19">
      <x:c r="A19" s="134" t="n">
        <x:v>8</x:v>
      </x:c>
      <x:c r="B19" s="135" t="str">
        <x:v>Cleveland Guardians</x:v>
      </x:c>
      <x:c r="C19" s="136" t="str"/>
      <x:c r="D19" s="174"/>
      <x:c r="E19" s="111"/>
      <x:c r="F19" s="111"/>
    </x:row>
    <x:row r="20">
      <x:c r="A20" s="134" t="n">
        <x:v>9</x:v>
      </x:c>
      <x:c r="B20" s="135" t="str">
        <x:v>Colorado Rockies</x:v>
      </x:c>
      <x:c r="C20" s="136" t="str"/>
      <x:c r="D20" s="174"/>
      <x:c r="E20" s="111"/>
      <x:c r="F20" s="111"/>
    </x:row>
    <x:row r="21">
      <x:c r="A21" s="134" t="n">
        <x:v>10</x:v>
      </x:c>
      <x:c r="B21" s="135" t="str">
        <x:v>Detroit Tigers</x:v>
      </x:c>
      <x:c r="C21" s="136" t="str"/>
      <x:c r="D21" s="174"/>
      <x:c r="E21" s="111"/>
      <x:c r="F21" s="111"/>
    </x:row>
    <x:row r="22">
      <x:c r="A22" s="134" t="n">
        <x:v>11</x:v>
      </x:c>
      <x:c r="B22" s="135" t="str">
        <x:v>Houston Astros</x:v>
      </x:c>
      <x:c r="C22" s="136" t="str"/>
      <x:c r="D22" s="174"/>
      <x:c r="E22" s="111"/>
      <x:c r="F22" s="111"/>
    </x:row>
    <x:row r="23">
      <x:c r="A23" s="134" t="n">
        <x:v>12</x:v>
      </x:c>
      <x:c r="B23" s="135" t="str">
        <x:v>Kansas City Royals</x:v>
      </x:c>
      <x:c r="C23" s="136" t="str"/>
      <x:c r="D23" s="174"/>
      <x:c r="E23" s="111"/>
      <x:c r="F23" s="111"/>
    </x:row>
    <x:row r="24">
      <x:c r="A24" s="134" t="n">
        <x:v>13</x:v>
      </x:c>
      <x:c r="B24" s="135" t="str">
        <x:v>Los Angeles Angels</x:v>
      </x:c>
      <x:c r="C24" s="136" t="str"/>
      <x:c r="D24" s="174"/>
      <x:c r="E24" s="111"/>
      <x:c r="F24" s="111"/>
    </x:row>
    <x:row r="25">
      <x:c r="A25" s="134" t="n">
        <x:v>14</x:v>
      </x:c>
      <x:c r="B25" s="135" t="str">
        <x:v>Los Angeles Dodgers</x:v>
      </x:c>
      <x:c r="C25" s="136" t="str"/>
      <x:c r="D25" s="174"/>
      <x:c r="E25" s="111"/>
      <x:c r="F25" s="111"/>
    </x:row>
    <x:row r="26">
      <x:c r="A26" s="134" t="n">
        <x:v>15</x:v>
      </x:c>
      <x:c r="B26" s="135" t="str">
        <x:v>Miami Marlins</x:v>
      </x:c>
      <x:c r="C26" s="136" t="str"/>
      <x:c r="D26" s="174"/>
      <x:c r="E26" s="111"/>
      <x:c r="F26" s="111"/>
    </x:row>
    <x:row r="27">
      <x:c r="A27" s="134" t="n">
        <x:v>16</x:v>
      </x:c>
      <x:c r="B27" s="135" t="str">
        <x:v>Milwaukee Brewers</x:v>
      </x:c>
      <x:c r="C27" s="136" t="str"/>
      <x:c r="D27" s="174"/>
      <x:c r="E27" s="111"/>
      <x:c r="F27" s="111"/>
    </x:row>
    <x:row r="28">
      <x:c r="A28" s="134" t="n">
        <x:v>17</x:v>
      </x:c>
      <x:c r="B28" s="135" t="str">
        <x:v>Minnesota Twins</x:v>
      </x:c>
      <x:c r="C28" s="136" t="str"/>
      <x:c r="D28" s="174"/>
      <x:c r="E28" s="111"/>
      <x:c r="F28" s="111"/>
    </x:row>
    <x:row r="29">
      <x:c r="A29" s="134" t="n">
        <x:v>18</x:v>
      </x:c>
      <x:c r="B29" s="135" t="str">
        <x:v>New York Mets</x:v>
      </x:c>
      <x:c r="C29" s="136" t="str"/>
      <x:c r="D29" s="174"/>
      <x:c r="E29" s="111"/>
      <x:c r="F29" s="111"/>
    </x:row>
    <x:row r="30">
      <x:c r="A30" s="134" t="n">
        <x:v>19</x:v>
      </x:c>
      <x:c r="B30" s="135" t="str">
        <x:v>New York Yankees</x:v>
      </x:c>
      <x:c r="C30" s="136" t="str"/>
      <x:c r="D30" s="174"/>
      <x:c r="E30" s="111"/>
      <x:c r="F30" s="111"/>
    </x:row>
    <x:row r="31">
      <x:c r="A31" s="134" t="n">
        <x:v>20</x:v>
      </x:c>
      <x:c r="B31" s="135" t="str">
        <x:v>Athletics</x:v>
      </x:c>
      <x:c r="C31" s="136" t="str"/>
      <x:c r="D31" s="174"/>
      <x:c r="E31" s="111"/>
      <x:c r="F31" s="111"/>
    </x:row>
    <x:row r="32">
      <x:c r="A32" s="134" t="n">
        <x:v>21</x:v>
      </x:c>
      <x:c r="B32" s="135" t="str">
        <x:v>Philadelphia Phillies</x:v>
      </x:c>
      <x:c r="C32" s="136" t="str"/>
      <x:c r="D32" s="174"/>
      <x:c r="E32" s="111"/>
      <x:c r="F32" s="111"/>
    </x:row>
    <x:row r="33">
      <x:c r="A33" s="134" t="n">
        <x:v>22</x:v>
      </x:c>
      <x:c r="B33" s="135" t="str">
        <x:v>Pittsburgh Pirates</x:v>
      </x:c>
      <x:c r="C33" s="136" t="str"/>
      <x:c r="D33" s="174"/>
      <x:c r="E33" s="111"/>
      <x:c r="F33" s="111"/>
    </x:row>
    <x:row r="34">
      <x:c r="A34" s="134" t="n">
        <x:v>23</x:v>
      </x:c>
      <x:c r="B34" s="135" t="str">
        <x:v>San Diego Padres</x:v>
      </x:c>
      <x:c r="C34" s="136" t="str"/>
      <x:c r="D34" s="174"/>
      <x:c r="E34" s="111"/>
      <x:c r="F34" s="111"/>
    </x:row>
    <x:row r="35">
      <x:c r="A35" s="134" t="n">
        <x:v>24</x:v>
      </x:c>
      <x:c r="B35" s="135" t="str">
        <x:v>San Francisco Giants</x:v>
      </x:c>
      <x:c r="C35" s="136" t="str"/>
      <x:c r="D35" s="174"/>
      <x:c r="E35" s="111"/>
      <x:c r="F35" s="111"/>
    </x:row>
    <x:row r="36">
      <x:c r="A36" s="134" t="n">
        <x:v>25</x:v>
      </x:c>
      <x:c r="B36" s="135" t="str">
        <x:v>Seattle Mariners</x:v>
      </x:c>
      <x:c r="C36" s="136" t="str"/>
      <x:c r="D36" s="174"/>
      <x:c r="E36" s="111"/>
      <x:c r="F36" s="111"/>
    </x:row>
    <x:row r="37">
      <x:c r="A37" s="134" t="n">
        <x:v>26</x:v>
      </x:c>
      <x:c r="B37" s="135" t="str">
        <x:v>St. Louis Cardinals</x:v>
      </x:c>
      <x:c r="C37" s="136" t="str"/>
      <x:c r="D37" s="174"/>
      <x:c r="E37" s="111"/>
      <x:c r="F37" s="111"/>
    </x:row>
    <x:row r="38">
      <x:c r="A38" s="134" t="n">
        <x:v>27</x:v>
      </x:c>
      <x:c r="B38" s="135" t="str">
        <x:v>Tampa Bay Rays</x:v>
      </x:c>
      <x:c r="C38" s="136" t="str"/>
      <x:c r="D38" s="174"/>
      <x:c r="E38" s="111"/>
      <x:c r="F38" s="111"/>
    </x:row>
    <x:row r="39">
      <x:c r="A39" s="134" t="n">
        <x:v>28</x:v>
      </x:c>
      <x:c r="B39" s="135" t="str">
        <x:v>Texas Rangers</x:v>
      </x:c>
      <x:c r="C39" s="136" t="str"/>
      <x:c r="D39" s="174"/>
      <x:c r="E39" s="111"/>
      <x:c r="F39" s="111"/>
    </x:row>
    <x:row r="40">
      <x:c r="A40" s="134" t="n">
        <x:v>29</x:v>
      </x:c>
      <x:c r="B40" s="135" t="str">
        <x:v>Toronto Blue Jays</x:v>
      </x:c>
      <x:c r="C40" s="136" t="str"/>
      <x:c r="D40" s="174"/>
      <x:c r="E40" s="111"/>
      <x:c r="F40" s="111"/>
    </x:row>
    <x:row r="41">
      <x:c r="A41" s="137" t="n">
        <x:v>30</x:v>
      </x:c>
      <x:c r="B41" s="138" t="str">
        <x:v>Washington Nationals</x:v>
      </x:c>
      <x:c r="C41" s="139" t="str"/>
      <x:c r="D41" s="174"/>
      <x:c r="E41" s="111"/>
      <x:c r="F41" s="111"/>
    </x:row>
    <x:row r="42">
      <x:c r="A42" s="111"/>
      <x:c r="B42" s="111"/>
      <x:c r="C42" s="111"/>
      <x:c r="D42" s="111"/>
      <x:c r="E42" s="111"/>
      <x:c r="F42" s="111"/>
    </x:row>
    <x:row r="43">
      <x:c r="A43" s="111"/>
      <x:c r="B43" s="111"/>
      <x:c r="C43" s="111"/>
      <x:c r="D43" s="111"/>
      <x:c r="E43" s="111"/>
      <x:c r="F43" s="111"/>
    </x:row>
    <x:row r="44">
      <x:c r="A44" s="111"/>
      <x:c r="B44" s="111"/>
      <x:c r="C44" s="111"/>
      <x:c r="D44" s="111"/>
      <x:c r="E44" s="111"/>
      <x:c r="F44" s="111"/>
    </x:row>
    <x:row r="45">
      <x:c r="A45" s="111"/>
      <x:c r="B45" s="111"/>
      <x:c r="C45" s="111"/>
      <x:c r="D45" s="111"/>
      <x:c r="E45" s="111"/>
      <x:c r="F45" s="111"/>
    </x:row>
  </x:sheetData>
  <x:mergeCells>
    <x:mergeCell ref="A1:F1"/>
  </x:mergeCells>
  <x:dataValidations count="1">
    <x:dataValidation type="list" sqref="B5">
      <x:formula1>"한케이스,반케이스,박스단위"</x:formula1>
    </x:dataValidation>
  </x:dataValidations>
  <x:pageMargins left="0.7" right="0.7" top="0.75" bottom="0.75" header="0.3" footer="0.3"/>
</x:worksheet>
</file>